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finn.watts\Downloads\"/>
    </mc:Choice>
  </mc:AlternateContent>
  <xr:revisionPtr revIDLastSave="0" documentId="13_ncr:1_{C4F6ED78-3FC4-4D8E-AE47-DE5D5A1D9D73}" xr6:coauthVersionLast="47" xr6:coauthVersionMax="47" xr10:uidLastSave="{00000000-0000-0000-0000-000000000000}"/>
  <bookViews>
    <workbookView xWindow="-110" yWindow="-110" windowWidth="19420" windowHeight="11620" activeTab="2" xr2:uid="{00000000-000D-0000-FFFF-FFFF00000000}"/>
  </bookViews>
  <sheets>
    <sheet name="Table S2A" sheetId="2" r:id="rId1"/>
    <sheet name="Table S2B" sheetId="3" r:id="rId2"/>
    <sheet name="Table S2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3" l="1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3" i="3"/>
</calcChain>
</file>

<file path=xl/sharedStrings.xml><?xml version="1.0" encoding="utf-8"?>
<sst xmlns="http://schemas.openxmlformats.org/spreadsheetml/2006/main" count="176" uniqueCount="164">
  <si>
    <t>Label</t>
  </si>
  <si>
    <t>Name</t>
  </si>
  <si>
    <t>Score</t>
  </si>
  <si>
    <r>
      <t>Fold Change</t>
    </r>
    <r>
      <rPr>
        <sz val="11"/>
        <color theme="1"/>
        <rFont val="等线"/>
        <family val="2"/>
      </rPr>
      <t>（</t>
    </r>
    <r>
      <rPr>
        <sz val="11"/>
        <color theme="1"/>
        <rFont val="Times New Roman"/>
        <family val="1"/>
      </rPr>
      <t>UC/HC</t>
    </r>
    <r>
      <rPr>
        <sz val="11"/>
        <color theme="1"/>
        <rFont val="等线"/>
        <family val="2"/>
      </rPr>
      <t>）</t>
    </r>
    <phoneticPr fontId="4" type="noConversion"/>
  </si>
  <si>
    <t>AUC</t>
  </si>
  <si>
    <t>7.03_630.3803n</t>
  </si>
  <si>
    <t>2,3,23-Triacetylsericic acid</t>
    <phoneticPr fontId="4" type="noConversion"/>
  </si>
  <si>
    <t>4.66_215.0883m/z</t>
  </si>
  <si>
    <t>1,9-Nonanedithiol</t>
    <phoneticPr fontId="4" type="noConversion"/>
  </si>
  <si>
    <t>3.98_253.0922m/z</t>
  </si>
  <si>
    <t>Deoxyinosine</t>
    <phoneticPr fontId="4" type="noConversion"/>
  </si>
  <si>
    <t>5.01_236.0941m/z</t>
  </si>
  <si>
    <t>N-Acetylvanilalanine</t>
  </si>
  <si>
    <t>6.70_364.2233n</t>
  </si>
  <si>
    <t>Tetrahydrocortisone</t>
    <phoneticPr fontId="4" type="noConversion"/>
  </si>
  <si>
    <t>6.51_366.2393n</t>
  </si>
  <si>
    <t>Avocadyne 2-acetate</t>
  </si>
  <si>
    <t>5.98_264.1251m/z</t>
  </si>
  <si>
    <t>Dihydrowyerone acid</t>
  </si>
  <si>
    <t>6.53_432.1978n</t>
  </si>
  <si>
    <t>Diphenhydramine N-glucuronide</t>
    <phoneticPr fontId="2" type="noConversion"/>
  </si>
  <si>
    <t>5.24_258.1087n</t>
  </si>
  <si>
    <t>1,1'-(Tetrahydro-6a-hydroxy-2,3a,5-trimethylfuro[2,3-d]-1,3-dioxole-2,5-diyl)bis-ethanone</t>
  </si>
  <si>
    <t>7.38_250.1924n</t>
  </si>
  <si>
    <t>Myristic acid</t>
  </si>
  <si>
    <t>5.39_311.1454m/z</t>
  </si>
  <si>
    <t>Arginyl-Asparagine</t>
  </si>
  <si>
    <t>4.49_435.1459m/z</t>
  </si>
  <si>
    <t>4-Hydroxy-5-(3',4'-dihydroxyphenyl)-valeric acid-O-methyl-O-glucuronide</t>
  </si>
  <si>
    <t>5.84_309.1297m/z</t>
  </si>
  <si>
    <t>Hydroxyhexamide</t>
  </si>
  <si>
    <t>6.79_292.1565m/z</t>
  </si>
  <si>
    <t>Gossyvertin</t>
  </si>
  <si>
    <t>5.11_416.1309n</t>
  </si>
  <si>
    <t>6-[(4,5-dihydroxy-7-methoxy-2,2-dimethyl-3,4-dihydro-2H-1-benzopyran-6-yl)oxy]-3,4,5-trihydroxyoxane-2-carboxylic acid</t>
  </si>
  <si>
    <t>5.19_245.0913m/z</t>
  </si>
  <si>
    <t>L-cis-Cyclo(aspartylphenylalanyl)</t>
  </si>
  <si>
    <t>7.16_296.1846m/z</t>
  </si>
  <si>
    <t>2-(4-hydroxy-3,7-dimethylocta-2,6-dien-1-yl)benzene-1,3,5-triol</t>
  </si>
  <si>
    <t>7.16_297.1929n</t>
  </si>
  <si>
    <t>Prehumulinic acid</t>
  </si>
  <si>
    <t>3.99_445.1666m/z</t>
  </si>
  <si>
    <t>4'-Hydroxycarvedilol</t>
  </si>
  <si>
    <t>7.00_301.2243n</t>
  </si>
  <si>
    <t>2,6 Dimethylheptanoyl carnitine</t>
    <phoneticPr fontId="2" type="noConversion"/>
  </si>
  <si>
    <t>7.85_513.2654m/z</t>
  </si>
  <si>
    <t>(1S,16R)-5,7,11-trihydroxy-8-(hydroxymethyl)-8,10,12,16-tetramethyl-3-[1-(2-methyl-1,3-thiazol-4-yl)prop-1-en-2-yl]-17-oxa-4-azabicyclo[14.1.0]heptadec-4-en-9-one</t>
  </si>
  <si>
    <t>6.62_240.1716n</t>
  </si>
  <si>
    <t>(10betaH,11xi)-11-Hydroxy-13-nor-6-eremophilen-8-one</t>
  </si>
  <si>
    <t>7.43_316.2471m/z</t>
  </si>
  <si>
    <t>Decanoylcarnitine</t>
    <phoneticPr fontId="2" type="noConversion"/>
  </si>
  <si>
    <t>4.96_339.0942n</t>
  </si>
  <si>
    <t>6-Hydroxy-5-methoxyindole glucuronide</t>
    <phoneticPr fontId="2" type="noConversion"/>
  </si>
  <si>
    <t>7.80_375.2128m/z</t>
  </si>
  <si>
    <t>Prostaglandin I2</t>
  </si>
  <si>
    <t>7.62_532.3100m/z</t>
  </si>
  <si>
    <t>Cinncassiol D4 2-glucoside</t>
  </si>
  <si>
    <t>6.87_435.1608m/z</t>
  </si>
  <si>
    <t>Melleolide M</t>
  </si>
  <si>
    <t>7.94_377.2284m/z</t>
  </si>
  <si>
    <t>(3b,6b,8b,12a)-8,12-Epoxy-7(11)-eremophilene-6-angeloyloxy-8,12-dimethoxy-3-ol</t>
  </si>
  <si>
    <t>4.57_330.1471m/z</t>
  </si>
  <si>
    <t>Tyrosyl-Methionine</t>
  </si>
  <si>
    <t>4.74_286.1518n</t>
  </si>
  <si>
    <t>12-Oxo-2,3-dinor-10,15-phytodienoic acid</t>
  </si>
  <si>
    <t>7.06_465.2464m/z</t>
  </si>
  <si>
    <t>11-beta-Hydroxyandrosterone-3-glucuronide</t>
    <phoneticPr fontId="2" type="noConversion"/>
  </si>
  <si>
    <t>6.28_324.1795m/z</t>
  </si>
  <si>
    <t>Achillicin</t>
  </si>
  <si>
    <t>8.20_398.2655n</t>
  </si>
  <si>
    <t>Jasmonic acid</t>
  </si>
  <si>
    <t>7.09_386.2886m/z</t>
  </si>
  <si>
    <t>Cortol</t>
  </si>
  <si>
    <t>7.23_511.2493m/z</t>
  </si>
  <si>
    <t>alpha-Ionol O-[arabinosyl-(1-&gt;6)-glucoside]</t>
  </si>
  <si>
    <t>7.06_460.2289n</t>
  </si>
  <si>
    <t>5-Methyldeoxycytidine</t>
    <phoneticPr fontId="2" type="noConversion"/>
  </si>
  <si>
    <t>6.95_294.2184n</t>
  </si>
  <si>
    <t>Hypogeic acid</t>
  </si>
  <si>
    <t>5.61_508.1961m/z</t>
  </si>
  <si>
    <t>(4-{3-[2,4-dihydroxy-5-(3-methylbut-2-en-1-yl)phenyl]-2-hydroxy-3-oxopropyl}-2-(3-methylbut-2-en-1-yl)phenyl)oxidanesulfonic acid</t>
  </si>
  <si>
    <t>6.76_451.1556m/z</t>
  </si>
  <si>
    <t>Melleolide L</t>
  </si>
  <si>
    <t>7.76_330.2627m/z</t>
  </si>
  <si>
    <t>9,10-DiHODE</t>
  </si>
  <si>
    <t>6.56_527.2449m/z</t>
  </si>
  <si>
    <t>(3S,7E,9R)-4,7-Megastigmadiene-3,9-diol 9-[apiosyl-(1-&gt;6)-glucoside]</t>
  </si>
  <si>
    <t>3.59_397.1813m/z</t>
  </si>
  <si>
    <t>6-Epi-7-isocucurbic acid glucoside</t>
  </si>
  <si>
    <t>Fold Change(UTUC/BCa)</t>
    <phoneticPr fontId="2" type="noConversion"/>
  </si>
  <si>
    <t>4.63_381.1279m/z</t>
  </si>
  <si>
    <t>4.60_298.0960m/z</t>
  </si>
  <si>
    <t>6.11_238.1066m/z</t>
  </si>
  <si>
    <t>L-beta-aspartyl-L-serine</t>
  </si>
  <si>
    <t>8.79_386.1983m/z</t>
  </si>
  <si>
    <t>Dehydroepiandrosterone sulfate</t>
  </si>
  <si>
    <t>4.28_207.1254n</t>
  </si>
  <si>
    <t>3-(2-Methylpropylidene)-3alpha,4-dihydro-1(3H)-isobenzofuranone</t>
  </si>
  <si>
    <t>3.92_236.0789n</t>
  </si>
  <si>
    <t>N'-Formylkynurenine</t>
  </si>
  <si>
    <t>5.44_340.1742m/z</t>
  </si>
  <si>
    <t>Avenic acid A</t>
  </si>
  <si>
    <t>4.54_366.1417n</t>
  </si>
  <si>
    <t>R-138727</t>
  </si>
  <si>
    <t>4.89_243.0556n</t>
  </si>
  <si>
    <t>Glutamylmethionine</t>
  </si>
  <si>
    <t>5.87_298.1275m/z</t>
  </si>
  <si>
    <t>Neosaxitoxin</t>
  </si>
  <si>
    <t>5.51_280.1537m/z</t>
  </si>
  <si>
    <t>Enokipodin D</t>
  </si>
  <si>
    <t>6.80_270.1509m/z</t>
  </si>
  <si>
    <t>Dihydromorphine</t>
  </si>
  <si>
    <t>5.44_425.1403m/z</t>
  </si>
  <si>
    <t>Erysothiopine</t>
  </si>
  <si>
    <t>5.64_516.2764n</t>
  </si>
  <si>
    <t>Lucidenic acid E2</t>
  </si>
  <si>
    <t>6.41_316.1926m/z</t>
  </si>
  <si>
    <t>Gravelliferone</t>
  </si>
  <si>
    <t>6.53_409.1453m/z</t>
  </si>
  <si>
    <t>3,4,5-trihydroxy-6-({2-hydroxy-3-[4-hydroxy-3-(3-methylbut-2-en-1-yl)phenyl]propanoyl}oxy)oxane-2-carboxylic acid</t>
  </si>
  <si>
    <t>6.09_490.1458n</t>
  </si>
  <si>
    <t>Formononetin 7-(6''-methylmalonylglucoside)</t>
    <phoneticPr fontId="2" type="noConversion"/>
  </si>
  <si>
    <t>4.58_299.1090m/z</t>
  </si>
  <si>
    <t>Vanilloloside</t>
  </si>
  <si>
    <t>2.72_264.0769n</t>
  </si>
  <si>
    <t>1.50_245.1486m/z</t>
  </si>
  <si>
    <t>Hydroxyprolyl-Isoleucine</t>
  </si>
  <si>
    <t>5.39_281.0984m/z</t>
  </si>
  <si>
    <t>1,1'-(Tetrahydro-6a-hydroxy-2,3a,5-trimethylfuro[2,3-d]-1,3-dioxole-2,5-diyl)bis-ethanone</t>
    <phoneticPr fontId="2" type="noConversion"/>
  </si>
  <si>
    <t>3.16_321.0983n</t>
  </si>
  <si>
    <t>L-L-Homoglutathione</t>
  </si>
  <si>
    <t>6.18_400.1355n</t>
  </si>
  <si>
    <t>6-{[4-carboxy-1-(3-methoxyphenyl)butan-2-yl]oxy}-3,4,5-trihydroxyoxane-2-carboxylic acid</t>
    <phoneticPr fontId="2" type="noConversion"/>
  </si>
  <si>
    <t>5.66_397.1092m/z</t>
  </si>
  <si>
    <t>3,4,5-trihydroxy-6-{[3-(3,4,5-trimethoxyphenyl)prop-2-enoyl]oxy}oxane-2-carboxylic acid</t>
    <phoneticPr fontId="2" type="noConversion"/>
  </si>
  <si>
    <t>5.37_401.1404m/z</t>
  </si>
  <si>
    <t>3,4,5-trihydroxy-6-{[4-hydroxy-5-(3-methoxyphenyl)pentanoyl]oxy}oxane-2-carboxylic acid</t>
    <phoneticPr fontId="2" type="noConversion"/>
  </si>
  <si>
    <t>4.42_308.1094n</t>
  </si>
  <si>
    <t>N-(4-aminobutyl)-3-[4-hydroxy-3-(sulfooxy)phenyl]prop-2-enimidic acid</t>
  </si>
  <si>
    <t>4.44_255.0829m/z</t>
  </si>
  <si>
    <t>L-Phosphoarginine</t>
  </si>
  <si>
    <t>5.78_265.0942n</t>
  </si>
  <si>
    <t>7-Methylinosine</t>
    <phoneticPr fontId="2" type="noConversion"/>
  </si>
  <si>
    <t>7.68_343.1805n</t>
  </si>
  <si>
    <t>(+)-Galeon</t>
  </si>
  <si>
    <t>7.09_414.1873n</t>
  </si>
  <si>
    <t>alpha-CEHC glucuronide</t>
    <phoneticPr fontId="2" type="noConversion"/>
  </si>
  <si>
    <t>6.29_240.0987n</t>
  </si>
  <si>
    <t>gamma-Glutamylaspartic acid</t>
  </si>
  <si>
    <t>8.15_356.2783m/z</t>
  </si>
  <si>
    <t>Sterebin E</t>
  </si>
  <si>
    <t>5.91_450.2085n</t>
  </si>
  <si>
    <t>Cymorcin diglucoside</t>
  </si>
  <si>
    <t>7.23_318.1717m/z</t>
  </si>
  <si>
    <t>Myrigalone A</t>
  </si>
  <si>
    <t>The metabolites in red were selected to consist panel.</t>
    <phoneticPr fontId="2" type="noConversion"/>
  </si>
  <si>
    <t>Table S2A. Differential metabolites between UCs and HCs</t>
    <phoneticPr fontId="2" type="noConversion"/>
  </si>
  <si>
    <t>Table S2B. Differential metabolites between UTUC and BCa without hematuria</t>
    <phoneticPr fontId="2" type="noConversion"/>
  </si>
  <si>
    <t>Table S2C. Differential metabolites between UTUC and BCa with hematuria</t>
    <phoneticPr fontId="2" type="noConversion"/>
  </si>
  <si>
    <t>5'-Methylthioadenosine</t>
    <phoneticPr fontId="2" type="noConversion"/>
  </si>
  <si>
    <t>Aspartyl-Methionine</t>
    <phoneticPr fontId="2" type="noConversion"/>
  </si>
  <si>
    <t>P value</t>
    <phoneticPr fontId="4" type="noConversion"/>
  </si>
  <si>
    <t>4,8,9-trihydroxy-17-methoxy-2-oxatricyclo13.2.2.1,icosa-117,3,5,720,15,18-hexaen-10-one</t>
    <phoneticPr fontId="2" type="noConversion"/>
  </si>
  <si>
    <r>
      <t>Fold Change</t>
    </r>
    <r>
      <rPr>
        <sz val="11"/>
        <rFont val="等线"/>
        <family val="2"/>
      </rPr>
      <t>（</t>
    </r>
    <r>
      <rPr>
        <sz val="11"/>
        <rFont val="Times New Roman"/>
        <family val="1"/>
      </rPr>
      <t>UTUC/BCa</t>
    </r>
    <r>
      <rPr>
        <sz val="11"/>
        <rFont val="等线"/>
        <family val="2"/>
      </rPr>
      <t>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</si>
</sst>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9"/>
      <name val="Calibri"/>
      <family val="3"/>
      <charset val="134"/>
      <scheme val="minor"/>
    </font>
    <font>
      <sz val="11"/>
      <color theme="1"/>
      <name val="Times New Roman"/>
      <family val="1"/>
    </font>
    <font>
      <sz val="9"/>
      <name val="Calibri"/>
      <family val="2"/>
      <charset val="134"/>
      <scheme val="minor"/>
    </font>
    <font>
      <sz val="11"/>
      <color theme="1"/>
      <name val="等线"/>
      <family val="2"/>
    </font>
    <font>
      <b/>
      <sz val="11"/>
      <color theme="1"/>
      <name val="Calibri"/>
      <family val="3"/>
      <charset val="134"/>
      <scheme val="minor"/>
    </font>
    <font>
      <b/>
      <sz val="11"/>
      <color rgb="FFFF0000"/>
      <name val="Times New Roman"/>
      <family val="1"/>
    </font>
    <font>
      <sz val="11"/>
      <name val="Times New Roman"/>
      <family val="1"/>
    </font>
    <font>
      <sz val="11"/>
      <name val="等线"/>
      <family val="2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11" fontId="3" fillId="0" borderId="0" xfId="0" applyNumberFormat="1" applyFont="1" applyAlignment="1">
      <alignment vertical="center"/>
    </xf>
    <xf numFmtId="0" fontId="6" fillId="0" borderId="0" xfId="0" applyFont="1"/>
    <xf numFmtId="0" fontId="7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vertical="center"/>
    </xf>
    <xf numFmtId="11" fontId="8" fillId="0" borderId="0" xfId="0" applyNumberFormat="1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B6779-6D1E-49E5-8DD8-09CCEBEA0913}">
  <dimension ref="A1:F46"/>
  <sheetViews>
    <sheetView workbookViewId="0">
      <selection activeCell="G1" sqref="G1:G1048576"/>
    </sheetView>
  </sheetViews>
  <sheetFormatPr defaultRowHeight="14.5"/>
  <cols>
    <col min="1" max="2" width="16.81640625" customWidth="1"/>
    <col min="3" max="3" width="8.54296875" customWidth="1"/>
  </cols>
  <sheetData>
    <row r="1" spans="1:6" ht="15.5">
      <c r="A1" s="1" t="s">
        <v>156</v>
      </c>
      <c r="B1" s="2"/>
      <c r="C1" s="2"/>
      <c r="D1" s="2"/>
      <c r="E1" s="2"/>
      <c r="F1" s="2"/>
    </row>
    <row r="2" spans="1:6">
      <c r="A2" s="3" t="s">
        <v>0</v>
      </c>
      <c r="B2" s="3" t="s">
        <v>1</v>
      </c>
      <c r="C2" s="3" t="s">
        <v>2</v>
      </c>
      <c r="D2" s="3" t="s">
        <v>4</v>
      </c>
      <c r="E2" s="3" t="s">
        <v>161</v>
      </c>
      <c r="F2" s="3" t="s">
        <v>3</v>
      </c>
    </row>
    <row r="3" spans="1:6">
      <c r="A3" s="3" t="s">
        <v>5</v>
      </c>
      <c r="B3" s="3" t="s">
        <v>6</v>
      </c>
      <c r="C3" s="3">
        <v>38.6</v>
      </c>
      <c r="D3" s="3">
        <v>0.92884</v>
      </c>
      <c r="E3" s="3">
        <v>1.15969727013348E-2</v>
      </c>
      <c r="F3" s="3">
        <v>17.865641656660728</v>
      </c>
    </row>
    <row r="4" spans="1:6">
      <c r="A4" s="3" t="s">
        <v>7</v>
      </c>
      <c r="B4" s="3" t="s">
        <v>8</v>
      </c>
      <c r="C4" s="3">
        <v>37.9</v>
      </c>
      <c r="D4" s="3">
        <v>0.81403999999999999</v>
      </c>
      <c r="E4" s="3">
        <v>1.7403178979783791E-2</v>
      </c>
      <c r="F4" s="3">
        <v>7.565114854229976</v>
      </c>
    </row>
    <row r="5" spans="1:6">
      <c r="A5" s="3" t="s">
        <v>9</v>
      </c>
      <c r="B5" s="7" t="s">
        <v>10</v>
      </c>
      <c r="C5" s="3">
        <v>41.6</v>
      </c>
      <c r="D5" s="3">
        <v>0.81308999999999998</v>
      </c>
      <c r="E5" s="3">
        <v>1.8023737880860824E-5</v>
      </c>
      <c r="F5" s="3">
        <v>0.43992025257409645</v>
      </c>
    </row>
    <row r="6" spans="1:6">
      <c r="A6" s="3" t="s">
        <v>11</v>
      </c>
      <c r="B6" s="3" t="s">
        <v>12</v>
      </c>
      <c r="C6" s="3">
        <v>41.6</v>
      </c>
      <c r="D6" s="3">
        <v>0.78937000000000002</v>
      </c>
      <c r="E6" s="3">
        <v>8.3925817279032757E-4</v>
      </c>
      <c r="F6" s="3">
        <v>0.58333477346119833</v>
      </c>
    </row>
    <row r="7" spans="1:6">
      <c r="A7" s="3" t="s">
        <v>13</v>
      </c>
      <c r="B7" s="3" t="s">
        <v>14</v>
      </c>
      <c r="C7" s="3">
        <v>48.5</v>
      </c>
      <c r="D7" s="3">
        <v>0.78842999999999996</v>
      </c>
      <c r="E7" s="3">
        <v>9.2712243526261735E-4</v>
      </c>
      <c r="F7" s="3">
        <v>0.5420935176882109</v>
      </c>
    </row>
    <row r="8" spans="1:6">
      <c r="A8" s="3" t="s">
        <v>15</v>
      </c>
      <c r="B8" s="3" t="s">
        <v>16</v>
      </c>
      <c r="C8" s="3">
        <v>43.1</v>
      </c>
      <c r="D8" s="3">
        <v>0.77798999999999996</v>
      </c>
      <c r="E8" s="3">
        <v>6.2328903855435585E-4</v>
      </c>
      <c r="F8" s="3">
        <v>0.61876612754606686</v>
      </c>
    </row>
    <row r="9" spans="1:6">
      <c r="A9" s="3" t="s">
        <v>17</v>
      </c>
      <c r="B9" s="3" t="s">
        <v>18</v>
      </c>
      <c r="C9" s="3">
        <v>41.5</v>
      </c>
      <c r="D9" s="3">
        <v>0.77514000000000005</v>
      </c>
      <c r="E9" s="3">
        <v>1.250215915334764E-4</v>
      </c>
      <c r="F9" s="3">
        <v>0.61747764688315987</v>
      </c>
    </row>
    <row r="10" spans="1:6">
      <c r="A10" s="3" t="s">
        <v>19</v>
      </c>
      <c r="B10" s="3" t="s">
        <v>20</v>
      </c>
      <c r="C10" s="3">
        <v>40</v>
      </c>
      <c r="D10" s="3">
        <v>0.76185999999999998</v>
      </c>
      <c r="E10" s="3">
        <v>3.5271932152374782E-4</v>
      </c>
      <c r="F10" s="3">
        <v>2.0746791057826726</v>
      </c>
    </row>
    <row r="11" spans="1:6">
      <c r="A11" s="3" t="s">
        <v>21</v>
      </c>
      <c r="B11" s="3" t="s">
        <v>22</v>
      </c>
      <c r="C11" s="3">
        <v>40</v>
      </c>
      <c r="D11" s="3">
        <v>0.75805999999999996</v>
      </c>
      <c r="E11" s="3">
        <v>1.2384699920429782E-3</v>
      </c>
      <c r="F11" s="3">
        <v>2.2796578809856234</v>
      </c>
    </row>
    <row r="12" spans="1:6">
      <c r="A12" s="3" t="s">
        <v>23</v>
      </c>
      <c r="B12" s="3" t="s">
        <v>24</v>
      </c>
      <c r="C12" s="3">
        <v>41.6</v>
      </c>
      <c r="D12" s="3">
        <v>0.75617000000000001</v>
      </c>
      <c r="E12" s="3">
        <v>1.1750702854465241E-3</v>
      </c>
      <c r="F12" s="3">
        <v>2.6348661265433511</v>
      </c>
    </row>
    <row r="13" spans="1:6">
      <c r="A13" s="3" t="s">
        <v>25</v>
      </c>
      <c r="B13" s="3" t="s">
        <v>26</v>
      </c>
      <c r="C13" s="3">
        <v>41.6</v>
      </c>
      <c r="D13" s="3">
        <v>0.75617000000000001</v>
      </c>
      <c r="E13" s="3">
        <v>1.9291438031423764E-2</v>
      </c>
      <c r="F13" s="3">
        <v>1.8338804668135136</v>
      </c>
    </row>
    <row r="14" spans="1:6">
      <c r="A14" s="3" t="s">
        <v>27</v>
      </c>
      <c r="B14" s="4" t="s">
        <v>28</v>
      </c>
      <c r="C14" s="3">
        <v>39.4</v>
      </c>
      <c r="D14" s="3">
        <v>0.75522</v>
      </c>
      <c r="E14" s="3">
        <v>1.1151720080778612E-2</v>
      </c>
      <c r="F14" s="3">
        <v>0.26520791992520876</v>
      </c>
    </row>
    <row r="15" spans="1:6">
      <c r="A15" s="3" t="s">
        <v>29</v>
      </c>
      <c r="B15" s="3" t="s">
        <v>30</v>
      </c>
      <c r="C15" s="3">
        <v>39.1</v>
      </c>
      <c r="D15" s="3">
        <v>0.75141999999999998</v>
      </c>
      <c r="E15" s="3">
        <v>3.6367662305851864E-3</v>
      </c>
      <c r="F15" s="3">
        <v>1.7519516713008281</v>
      </c>
    </row>
    <row r="16" spans="1:6">
      <c r="A16" s="3" t="s">
        <v>31</v>
      </c>
      <c r="B16" s="3" t="s">
        <v>32</v>
      </c>
      <c r="C16" s="3">
        <v>40.4</v>
      </c>
      <c r="D16" s="3">
        <v>0.74194000000000004</v>
      </c>
      <c r="E16" s="3">
        <v>2.8731504383668348E-4</v>
      </c>
      <c r="F16" s="3">
        <v>0.63340473439528444</v>
      </c>
    </row>
    <row r="17" spans="1:6">
      <c r="A17" s="3" t="s">
        <v>33</v>
      </c>
      <c r="B17" s="3" t="s">
        <v>34</v>
      </c>
      <c r="C17" s="3">
        <v>44.5</v>
      </c>
      <c r="D17" s="3">
        <v>0.74004000000000003</v>
      </c>
      <c r="E17" s="3">
        <v>5.5548198876490922E-3</v>
      </c>
      <c r="F17" s="3">
        <v>1.6861868090074894</v>
      </c>
    </row>
    <row r="18" spans="1:6">
      <c r="A18" s="3" t="s">
        <v>35</v>
      </c>
      <c r="B18" s="3" t="s">
        <v>36</v>
      </c>
      <c r="C18" s="3">
        <v>41.2</v>
      </c>
      <c r="D18" s="3">
        <v>0.73529</v>
      </c>
      <c r="E18" s="3">
        <v>2.3830124426675481E-4</v>
      </c>
      <c r="F18" s="3">
        <v>0.21605142238361921</v>
      </c>
    </row>
    <row r="19" spans="1:6">
      <c r="A19" s="3" t="s">
        <v>37</v>
      </c>
      <c r="B19" s="3" t="s">
        <v>38</v>
      </c>
      <c r="C19" s="3">
        <v>38.4</v>
      </c>
      <c r="D19" s="3">
        <v>0.73434999999999995</v>
      </c>
      <c r="E19" s="3">
        <v>1.2994716977841263E-2</v>
      </c>
      <c r="F19" s="3">
        <v>2.6159712761998377</v>
      </c>
    </row>
    <row r="20" spans="1:6">
      <c r="A20" s="3" t="s">
        <v>39</v>
      </c>
      <c r="B20" s="3" t="s">
        <v>40</v>
      </c>
      <c r="C20" s="3">
        <v>38.9</v>
      </c>
      <c r="D20" s="3">
        <v>0.73340000000000005</v>
      </c>
      <c r="E20" s="3">
        <v>8.8331261978059808E-4</v>
      </c>
      <c r="F20" s="3">
        <v>2.2388260321555333</v>
      </c>
    </row>
    <row r="21" spans="1:6">
      <c r="A21" s="3" t="s">
        <v>41</v>
      </c>
      <c r="B21" s="3" t="s">
        <v>42</v>
      </c>
      <c r="C21" s="3">
        <v>43.3</v>
      </c>
      <c r="D21" s="3">
        <v>0.73245000000000005</v>
      </c>
      <c r="E21" s="3">
        <v>3.2788147702588921E-2</v>
      </c>
      <c r="F21" s="3">
        <v>1.922479074569911</v>
      </c>
    </row>
    <row r="22" spans="1:6">
      <c r="A22" s="3" t="s">
        <v>43</v>
      </c>
      <c r="B22" s="7" t="s">
        <v>44</v>
      </c>
      <c r="C22" s="3">
        <v>49.9</v>
      </c>
      <c r="D22" s="3">
        <v>0.72675999999999996</v>
      </c>
      <c r="E22" s="3">
        <v>2.0704350374441474E-3</v>
      </c>
      <c r="F22" s="3">
        <v>0.60916019926209053</v>
      </c>
    </row>
    <row r="23" spans="1:6">
      <c r="A23" s="3" t="s">
        <v>45</v>
      </c>
      <c r="B23" s="3" t="s">
        <v>46</v>
      </c>
      <c r="C23" s="3">
        <v>40.9</v>
      </c>
      <c r="D23" s="3">
        <v>0.72201000000000004</v>
      </c>
      <c r="E23" s="3">
        <v>2.1870548227120199E-3</v>
      </c>
      <c r="F23" s="3">
        <v>3.1197030175591025</v>
      </c>
    </row>
    <row r="24" spans="1:6">
      <c r="A24" s="3" t="s">
        <v>47</v>
      </c>
      <c r="B24" s="3" t="s">
        <v>48</v>
      </c>
      <c r="C24" s="3">
        <v>44.9</v>
      </c>
      <c r="D24" s="3">
        <v>0.71726999999999996</v>
      </c>
      <c r="E24" s="3">
        <v>3.0189830660225978E-3</v>
      </c>
      <c r="F24" s="3">
        <v>2.0587991756043595</v>
      </c>
    </row>
    <row r="25" spans="1:6">
      <c r="A25" s="3" t="s">
        <v>49</v>
      </c>
      <c r="B25" s="3" t="s">
        <v>50</v>
      </c>
      <c r="C25" s="3">
        <v>46.1</v>
      </c>
      <c r="D25" s="3">
        <v>0.71252000000000004</v>
      </c>
      <c r="E25" s="3">
        <v>1.4808961983459976E-3</v>
      </c>
      <c r="F25" s="3">
        <v>0.35574120747194332</v>
      </c>
    </row>
    <row r="26" spans="1:6">
      <c r="A26" s="3" t="s">
        <v>51</v>
      </c>
      <c r="B26" s="3" t="s">
        <v>52</v>
      </c>
      <c r="C26" s="3">
        <v>40.299999999999997</v>
      </c>
      <c r="D26" s="3">
        <v>0.70398000000000005</v>
      </c>
      <c r="E26" s="3">
        <v>1.2902940356306404E-2</v>
      </c>
      <c r="F26" s="3">
        <v>1.7360160558807569</v>
      </c>
    </row>
    <row r="27" spans="1:6">
      <c r="A27" s="3" t="s">
        <v>53</v>
      </c>
      <c r="B27" s="7" t="s">
        <v>54</v>
      </c>
      <c r="C27" s="3">
        <v>38.9</v>
      </c>
      <c r="D27" s="3">
        <v>0.70398000000000005</v>
      </c>
      <c r="E27" s="3">
        <v>1.2052973091343663E-2</v>
      </c>
      <c r="F27" s="3">
        <v>0.52104909547078748</v>
      </c>
    </row>
    <row r="28" spans="1:6">
      <c r="A28" s="3" t="s">
        <v>55</v>
      </c>
      <c r="B28" s="3" t="s">
        <v>56</v>
      </c>
      <c r="C28" s="3">
        <v>41.8</v>
      </c>
      <c r="D28" s="3">
        <v>0.70398000000000005</v>
      </c>
      <c r="E28" s="3">
        <v>1.5216611291887333E-2</v>
      </c>
      <c r="F28" s="3">
        <v>0.26638987281838999</v>
      </c>
    </row>
    <row r="29" spans="1:6">
      <c r="A29" s="3" t="s">
        <v>57</v>
      </c>
      <c r="B29" s="3" t="s">
        <v>58</v>
      </c>
      <c r="C29" s="3">
        <v>36.299999999999997</v>
      </c>
      <c r="D29" s="3">
        <v>0.70398000000000005</v>
      </c>
      <c r="E29" s="3">
        <v>8.5120062271273281E-3</v>
      </c>
      <c r="F29" s="3">
        <v>2.0107893632992195</v>
      </c>
    </row>
    <row r="30" spans="1:6">
      <c r="A30" s="3" t="s">
        <v>59</v>
      </c>
      <c r="B30" s="3" t="s">
        <v>60</v>
      </c>
      <c r="C30" s="3">
        <v>40.4</v>
      </c>
      <c r="D30" s="3">
        <v>0.70255999999999996</v>
      </c>
      <c r="E30" s="3">
        <v>9.2012871376951529E-3</v>
      </c>
      <c r="F30" s="3">
        <v>0.49839035742231041</v>
      </c>
    </row>
    <row r="31" spans="1:6">
      <c r="A31" s="3" t="s">
        <v>61</v>
      </c>
      <c r="B31" s="3" t="s">
        <v>62</v>
      </c>
      <c r="C31" s="3">
        <v>36</v>
      </c>
      <c r="D31" s="3">
        <v>0.69923999999999997</v>
      </c>
      <c r="E31" s="3">
        <v>8.276097966604886E-3</v>
      </c>
      <c r="F31" s="3">
        <v>0.57962514637228613</v>
      </c>
    </row>
    <row r="32" spans="1:6">
      <c r="A32" s="3" t="s">
        <v>63</v>
      </c>
      <c r="B32" s="3" t="s">
        <v>64</v>
      </c>
      <c r="C32" s="3">
        <v>41.2</v>
      </c>
      <c r="D32" s="3">
        <v>0.69828999999999997</v>
      </c>
      <c r="E32" s="3">
        <v>3.9447940216437829E-3</v>
      </c>
      <c r="F32" s="3">
        <v>1.6565376543979762</v>
      </c>
    </row>
    <row r="33" spans="1:6">
      <c r="A33" s="3" t="s">
        <v>65</v>
      </c>
      <c r="B33" s="3" t="s">
        <v>66</v>
      </c>
      <c r="C33" s="3">
        <v>41.5</v>
      </c>
      <c r="D33" s="3">
        <v>0.69828999999999997</v>
      </c>
      <c r="E33" s="3">
        <v>6.0567927624592113E-3</v>
      </c>
      <c r="F33" s="3">
        <v>0.59966962513419553</v>
      </c>
    </row>
    <row r="34" spans="1:6">
      <c r="A34" s="3" t="s">
        <v>67</v>
      </c>
      <c r="B34" s="3" t="s">
        <v>68</v>
      </c>
      <c r="C34" s="3">
        <v>40</v>
      </c>
      <c r="D34" s="3">
        <v>0.69733999999999996</v>
      </c>
      <c r="E34" s="3">
        <v>7.1999550759699023E-3</v>
      </c>
      <c r="F34" s="3">
        <v>2.4093057921223546</v>
      </c>
    </row>
    <row r="35" spans="1:6">
      <c r="A35" s="3" t="s">
        <v>69</v>
      </c>
      <c r="B35" s="3" t="s">
        <v>70</v>
      </c>
      <c r="C35" s="3">
        <v>41.2</v>
      </c>
      <c r="D35" s="3">
        <v>0.69450000000000001</v>
      </c>
      <c r="E35" s="3">
        <v>4.8670338094101553E-2</v>
      </c>
      <c r="F35" s="3">
        <v>3.0093021436104697</v>
      </c>
    </row>
    <row r="36" spans="1:6">
      <c r="A36" s="3" t="s">
        <v>71</v>
      </c>
      <c r="B36" s="3" t="s">
        <v>72</v>
      </c>
      <c r="C36" s="3">
        <v>41.5</v>
      </c>
      <c r="D36" s="3">
        <v>0.69118000000000002</v>
      </c>
      <c r="E36" s="3">
        <v>4.1179311346958951E-3</v>
      </c>
      <c r="F36" s="3">
        <v>0.37268945856530433</v>
      </c>
    </row>
    <row r="37" spans="1:6">
      <c r="A37" s="3" t="s">
        <v>73</v>
      </c>
      <c r="B37" s="3" t="s">
        <v>74</v>
      </c>
      <c r="C37" s="3">
        <v>41.6</v>
      </c>
      <c r="D37" s="3">
        <v>0.68596000000000001</v>
      </c>
      <c r="E37" s="3">
        <v>4.3063492243915945E-2</v>
      </c>
      <c r="F37" s="3">
        <v>2.1387214532814913</v>
      </c>
    </row>
    <row r="38" spans="1:6">
      <c r="A38" s="3" t="s">
        <v>75</v>
      </c>
      <c r="B38" s="7" t="s">
        <v>76</v>
      </c>
      <c r="C38" s="3">
        <v>41</v>
      </c>
      <c r="D38" s="3">
        <v>0.68501000000000001</v>
      </c>
      <c r="E38" s="3">
        <v>1.2820222441366144E-2</v>
      </c>
      <c r="F38" s="3">
        <v>2.014321625712673</v>
      </c>
    </row>
    <row r="39" spans="1:6">
      <c r="A39" s="3" t="s">
        <v>77</v>
      </c>
      <c r="B39" s="3" t="s">
        <v>78</v>
      </c>
      <c r="C39" s="3">
        <v>39.6</v>
      </c>
      <c r="D39" s="3">
        <v>0.68501000000000001</v>
      </c>
      <c r="E39" s="3">
        <v>2.0238659994162387E-2</v>
      </c>
      <c r="F39" s="3">
        <v>1.9319645926028517</v>
      </c>
    </row>
    <row r="40" spans="1:6">
      <c r="A40" s="3" t="s">
        <v>79</v>
      </c>
      <c r="B40" s="3" t="s">
        <v>80</v>
      </c>
      <c r="C40" s="3">
        <v>39.200000000000003</v>
      </c>
      <c r="D40" s="3">
        <v>0.67932000000000003</v>
      </c>
      <c r="E40" s="3">
        <v>4.2073907557927372E-2</v>
      </c>
      <c r="F40" s="3">
        <v>0.54621026874135448</v>
      </c>
    </row>
    <row r="41" spans="1:6">
      <c r="A41" s="3" t="s">
        <v>81</v>
      </c>
      <c r="B41" s="3" t="s">
        <v>82</v>
      </c>
      <c r="C41" s="3">
        <v>34.5</v>
      </c>
      <c r="D41" s="3">
        <v>0.67742000000000002</v>
      </c>
      <c r="E41" s="3">
        <v>3.1979884268966016E-2</v>
      </c>
      <c r="F41" s="3">
        <v>1.7178540372358306</v>
      </c>
    </row>
    <row r="42" spans="1:6">
      <c r="A42" s="3" t="s">
        <v>83</v>
      </c>
      <c r="B42" s="3" t="s">
        <v>84</v>
      </c>
      <c r="C42" s="3">
        <v>48</v>
      </c>
      <c r="D42" s="3">
        <v>0.67457</v>
      </c>
      <c r="E42" s="3">
        <v>5.3926151745085108E-3</v>
      </c>
      <c r="F42" s="3">
        <v>0.26769934332542089</v>
      </c>
    </row>
    <row r="43" spans="1:6">
      <c r="A43" s="3" t="s">
        <v>85</v>
      </c>
      <c r="B43" s="3" t="s">
        <v>86</v>
      </c>
      <c r="C43" s="3">
        <v>38.5</v>
      </c>
      <c r="D43" s="3">
        <v>0.66508999999999996</v>
      </c>
      <c r="E43" s="3">
        <v>1.0513467547593464E-2</v>
      </c>
      <c r="F43" s="3">
        <v>2.1960846566216277</v>
      </c>
    </row>
    <row r="44" spans="1:6">
      <c r="A44" s="3" t="s">
        <v>87</v>
      </c>
      <c r="B44" s="3" t="s">
        <v>88</v>
      </c>
      <c r="C44" s="3">
        <v>39.200000000000003</v>
      </c>
      <c r="D44" s="3">
        <v>0.65559999999999996</v>
      </c>
      <c r="E44" s="3">
        <v>6.1178602706192086E-3</v>
      </c>
      <c r="F44" s="3">
        <v>0.59009490768743844</v>
      </c>
    </row>
    <row r="46" spans="1:6">
      <c r="A46" s="6" t="s">
        <v>155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D3754-B6BC-4705-8320-275D3962684D}">
  <dimension ref="A1:G21"/>
  <sheetViews>
    <sheetView workbookViewId="0">
      <selection activeCell="B3" sqref="B3"/>
    </sheetView>
  </sheetViews>
  <sheetFormatPr defaultRowHeight="14.5"/>
  <cols>
    <col min="1" max="3" width="18" customWidth="1"/>
  </cols>
  <sheetData>
    <row r="1" spans="1:7" ht="15.5">
      <c r="A1" s="1" t="s">
        <v>157</v>
      </c>
      <c r="B1" s="2"/>
      <c r="C1" s="2"/>
      <c r="D1" s="2"/>
      <c r="E1" s="2"/>
      <c r="F1" s="2"/>
      <c r="G1" s="2"/>
    </row>
    <row r="2" spans="1:7">
      <c r="A2" s="3" t="s">
        <v>0</v>
      </c>
      <c r="B2" s="3" t="s">
        <v>1</v>
      </c>
      <c r="C2" s="3" t="s">
        <v>2</v>
      </c>
      <c r="D2" s="3" t="s">
        <v>4</v>
      </c>
      <c r="E2" s="3" t="s">
        <v>161</v>
      </c>
      <c r="F2" s="3" t="s">
        <v>89</v>
      </c>
      <c r="G2" s="2"/>
    </row>
    <row r="3" spans="1:7">
      <c r="A3" s="3" t="s">
        <v>90</v>
      </c>
      <c r="B3" s="3" t="s">
        <v>162</v>
      </c>
      <c r="C3" s="3">
        <v>38.5</v>
      </c>
      <c r="D3" s="3">
        <v>0.90502000000000005</v>
      </c>
      <c r="E3" s="5">
        <v>1.0573000000000001E-4</v>
      </c>
      <c r="F3" s="2">
        <v>6.557839041349796</v>
      </c>
      <c r="G3" s="2">
        <f>ROUND(D3,3)</f>
        <v>0.90500000000000003</v>
      </c>
    </row>
    <row r="4" spans="1:7">
      <c r="A4" s="3" t="s">
        <v>91</v>
      </c>
      <c r="B4" s="7" t="s">
        <v>159</v>
      </c>
      <c r="C4" s="3">
        <v>42.2</v>
      </c>
      <c r="D4" s="3">
        <v>0.87455000000000005</v>
      </c>
      <c r="E4" s="3">
        <v>2.7161000000000001E-2</v>
      </c>
      <c r="F4" s="2">
        <v>1.9445310671210128</v>
      </c>
      <c r="G4" s="2">
        <f t="shared" ref="G4:G19" si="0">ROUND(D4,3)</f>
        <v>0.875</v>
      </c>
    </row>
    <row r="5" spans="1:7">
      <c r="A5" s="3" t="s">
        <v>92</v>
      </c>
      <c r="B5" s="7" t="s">
        <v>93</v>
      </c>
      <c r="C5" s="3">
        <v>43.6</v>
      </c>
      <c r="D5" s="3">
        <v>0.85841999999999996</v>
      </c>
      <c r="E5" s="5">
        <v>5.5327999999999998E-6</v>
      </c>
      <c r="F5" s="2">
        <v>3.0270082006862458</v>
      </c>
      <c r="G5" s="2">
        <f t="shared" si="0"/>
        <v>0.85799999999999998</v>
      </c>
    </row>
    <row r="6" spans="1:7">
      <c r="A6" s="3" t="s">
        <v>94</v>
      </c>
      <c r="B6" s="7" t="s">
        <v>95</v>
      </c>
      <c r="C6" s="3">
        <v>38.5</v>
      </c>
      <c r="D6" s="3">
        <v>0.78852999999999995</v>
      </c>
      <c r="E6" s="3">
        <v>1.9558000000000002E-3</v>
      </c>
      <c r="F6" s="2">
        <v>0.26742019834830805</v>
      </c>
      <c r="G6" s="2">
        <f t="shared" si="0"/>
        <v>0.78900000000000003</v>
      </c>
    </row>
    <row r="7" spans="1:7">
      <c r="A7" s="3" t="s">
        <v>96</v>
      </c>
      <c r="B7" s="3" t="s">
        <v>97</v>
      </c>
      <c r="C7" s="3">
        <v>42.1</v>
      </c>
      <c r="D7" s="3">
        <v>0.76881999999999995</v>
      </c>
      <c r="E7" s="3">
        <v>2.6640000000000001E-3</v>
      </c>
      <c r="F7" s="2">
        <v>4.2585564136302718</v>
      </c>
      <c r="G7" s="2">
        <f t="shared" si="0"/>
        <v>0.76900000000000002</v>
      </c>
    </row>
    <row r="8" spans="1:7">
      <c r="A8" s="3" t="s">
        <v>98</v>
      </c>
      <c r="B8" s="7" t="s">
        <v>99</v>
      </c>
      <c r="C8" s="3">
        <v>48.2</v>
      </c>
      <c r="D8" s="3">
        <v>0.75448000000000004</v>
      </c>
      <c r="E8" s="3">
        <v>4.5383999999999997E-3</v>
      </c>
      <c r="F8" s="2">
        <v>1.5586663703179642</v>
      </c>
      <c r="G8" s="2">
        <f t="shared" si="0"/>
        <v>0.754</v>
      </c>
    </row>
    <row r="9" spans="1:7">
      <c r="A9" s="3" t="s">
        <v>100</v>
      </c>
      <c r="B9" s="3" t="s">
        <v>101</v>
      </c>
      <c r="C9" s="3">
        <v>41.3</v>
      </c>
      <c r="D9" s="3">
        <v>0.74731000000000003</v>
      </c>
      <c r="E9" s="3">
        <v>1.319E-2</v>
      </c>
      <c r="F9" s="2">
        <v>0.57083714408388531</v>
      </c>
      <c r="G9" s="2">
        <f t="shared" si="0"/>
        <v>0.747</v>
      </c>
    </row>
    <row r="10" spans="1:7">
      <c r="A10" s="3" t="s">
        <v>102</v>
      </c>
      <c r="B10" s="3" t="s">
        <v>103</v>
      </c>
      <c r="C10" s="3">
        <v>42.4</v>
      </c>
      <c r="D10" s="3">
        <v>0.73655999999999999</v>
      </c>
      <c r="E10" s="3">
        <v>4.0807999999999999E-3</v>
      </c>
      <c r="F10" s="2">
        <v>2.5664911577636178</v>
      </c>
      <c r="G10" s="2">
        <f t="shared" si="0"/>
        <v>0.73699999999999999</v>
      </c>
    </row>
    <row r="11" spans="1:7">
      <c r="A11" s="3" t="s">
        <v>104</v>
      </c>
      <c r="B11" s="3" t="s">
        <v>105</v>
      </c>
      <c r="C11" s="3">
        <v>40.799999999999997</v>
      </c>
      <c r="D11" s="3">
        <v>0.72938999999999998</v>
      </c>
      <c r="E11" s="3">
        <v>6.1896E-3</v>
      </c>
      <c r="F11" s="2">
        <v>3.3143394929464862</v>
      </c>
      <c r="G11" s="2">
        <f t="shared" si="0"/>
        <v>0.72899999999999998</v>
      </c>
    </row>
    <row r="12" spans="1:7">
      <c r="A12" s="3" t="s">
        <v>106</v>
      </c>
      <c r="B12" s="3" t="s">
        <v>107</v>
      </c>
      <c r="C12" s="3">
        <v>36.4</v>
      </c>
      <c r="D12" s="3">
        <v>0.71326000000000001</v>
      </c>
      <c r="E12" s="3">
        <v>2.5152999999999998E-2</v>
      </c>
      <c r="F12" s="2">
        <v>4.036014909230552</v>
      </c>
      <c r="G12" s="2">
        <f t="shared" si="0"/>
        <v>0.71299999999999997</v>
      </c>
    </row>
    <row r="13" spans="1:7">
      <c r="A13" s="3" t="s">
        <v>108</v>
      </c>
      <c r="B13" s="3" t="s">
        <v>109</v>
      </c>
      <c r="C13" s="3">
        <v>40.9</v>
      </c>
      <c r="D13" s="3">
        <v>0.71147000000000005</v>
      </c>
      <c r="E13" s="3">
        <v>4.9477999999999996E-3</v>
      </c>
      <c r="F13" s="2">
        <v>4.4221020440415995</v>
      </c>
      <c r="G13" s="2">
        <f t="shared" si="0"/>
        <v>0.71099999999999997</v>
      </c>
    </row>
    <row r="14" spans="1:7">
      <c r="A14" s="3" t="s">
        <v>110</v>
      </c>
      <c r="B14" s="3" t="s">
        <v>111</v>
      </c>
      <c r="C14" s="3">
        <v>40</v>
      </c>
      <c r="D14" s="3">
        <v>0.70250999999999997</v>
      </c>
      <c r="E14" s="3">
        <v>2.4143999999999999E-2</v>
      </c>
      <c r="F14" s="2">
        <v>0.520300137966207</v>
      </c>
      <c r="G14" s="2">
        <f t="shared" si="0"/>
        <v>0.70299999999999996</v>
      </c>
    </row>
    <row r="15" spans="1:7">
      <c r="A15" s="3" t="s">
        <v>112</v>
      </c>
      <c r="B15" s="3" t="s">
        <v>113</v>
      </c>
      <c r="C15" s="3">
        <v>39.200000000000003</v>
      </c>
      <c r="D15" s="3">
        <v>0.70072000000000001</v>
      </c>
      <c r="E15" s="3">
        <v>2.3591999999999998E-2</v>
      </c>
      <c r="F15" s="2">
        <v>0.67474056582220265</v>
      </c>
      <c r="G15" s="2">
        <f t="shared" si="0"/>
        <v>0.70099999999999996</v>
      </c>
    </row>
    <row r="16" spans="1:7">
      <c r="A16" s="3" t="s">
        <v>114</v>
      </c>
      <c r="B16" s="3" t="s">
        <v>115</v>
      </c>
      <c r="C16" s="3">
        <v>38.6</v>
      </c>
      <c r="D16" s="3">
        <v>0.68459000000000003</v>
      </c>
      <c r="E16" s="3">
        <v>4.6096999999999999E-2</v>
      </c>
      <c r="F16" s="2">
        <v>4.5846230495090463</v>
      </c>
      <c r="G16" s="2">
        <f t="shared" si="0"/>
        <v>0.68500000000000005</v>
      </c>
    </row>
    <row r="17" spans="1:7">
      <c r="A17" s="3" t="s">
        <v>116</v>
      </c>
      <c r="B17" s="3" t="s">
        <v>117</v>
      </c>
      <c r="C17" s="3">
        <v>37.4</v>
      </c>
      <c r="D17" s="3">
        <v>0.68100000000000005</v>
      </c>
      <c r="E17" s="3">
        <v>3.4528999999999997E-2</v>
      </c>
      <c r="F17" s="2">
        <v>0.51528322572137586</v>
      </c>
      <c r="G17" s="2">
        <f t="shared" si="0"/>
        <v>0.68100000000000005</v>
      </c>
    </row>
    <row r="18" spans="1:7">
      <c r="A18" s="3" t="s">
        <v>118</v>
      </c>
      <c r="B18" s="3" t="s">
        <v>119</v>
      </c>
      <c r="C18" s="3">
        <v>41.7</v>
      </c>
      <c r="D18" s="3">
        <v>0.67742000000000002</v>
      </c>
      <c r="E18" s="3">
        <v>4.3922999999999997E-2</v>
      </c>
      <c r="F18" s="2">
        <v>0.66143477011873164</v>
      </c>
      <c r="G18" s="2">
        <f t="shared" si="0"/>
        <v>0.67700000000000005</v>
      </c>
    </row>
    <row r="19" spans="1:7">
      <c r="A19" s="3" t="s">
        <v>120</v>
      </c>
      <c r="B19" s="3" t="s">
        <v>121</v>
      </c>
      <c r="C19" s="3">
        <v>38.9</v>
      </c>
      <c r="D19" s="3">
        <v>0.64337</v>
      </c>
      <c r="E19" s="3">
        <v>3.4997E-2</v>
      </c>
      <c r="F19" s="2">
        <v>5.7319878790276322</v>
      </c>
      <c r="G19" s="2">
        <f t="shared" si="0"/>
        <v>0.64300000000000002</v>
      </c>
    </row>
    <row r="21" spans="1:7">
      <c r="A21" s="6" t="s">
        <v>155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B3A95-910F-47C5-A462-7F2585F81A7A}">
  <dimension ref="A1:F21"/>
  <sheetViews>
    <sheetView tabSelected="1" workbookViewId="0">
      <selection activeCell="A2" sqref="A2:F19"/>
    </sheetView>
  </sheetViews>
  <sheetFormatPr defaultRowHeight="14.5"/>
  <cols>
    <col min="1" max="1" width="13.1796875" customWidth="1"/>
    <col min="2" max="2" width="80.08984375" customWidth="1"/>
  </cols>
  <sheetData>
    <row r="1" spans="1:6" ht="15.5">
      <c r="A1" s="1" t="s">
        <v>158</v>
      </c>
      <c r="B1" s="2"/>
      <c r="C1" s="2"/>
      <c r="D1" s="2"/>
      <c r="E1" s="2"/>
      <c r="F1" s="2"/>
    </row>
    <row r="2" spans="1:6">
      <c r="A2" s="8" t="s">
        <v>0</v>
      </c>
      <c r="B2" s="8" t="s">
        <v>1</v>
      </c>
      <c r="C2" s="8" t="s">
        <v>2</v>
      </c>
      <c r="D2" s="8" t="s">
        <v>4</v>
      </c>
      <c r="E2" s="9" t="s">
        <v>161</v>
      </c>
      <c r="F2" s="8" t="s">
        <v>163</v>
      </c>
    </row>
    <row r="3" spans="1:6">
      <c r="A3" s="8" t="s">
        <v>122</v>
      </c>
      <c r="B3" s="8" t="s">
        <v>123</v>
      </c>
      <c r="C3" s="8">
        <v>41.7</v>
      </c>
      <c r="D3" s="8">
        <v>0.90178999999999998</v>
      </c>
      <c r="E3" s="10">
        <v>7.0600000000000003E-4</v>
      </c>
      <c r="F3" s="8">
        <v>4.5595813830000003</v>
      </c>
    </row>
    <row r="4" spans="1:6">
      <c r="A4" s="8" t="s">
        <v>124</v>
      </c>
      <c r="B4" s="11" t="s">
        <v>160</v>
      </c>
      <c r="C4" s="8">
        <v>38.799999999999997</v>
      </c>
      <c r="D4" s="8">
        <v>0.84375</v>
      </c>
      <c r="E4" s="8">
        <v>2.4147999999999999E-2</v>
      </c>
      <c r="F4" s="8">
        <v>3.005109654</v>
      </c>
    </row>
    <row r="5" spans="1:6">
      <c r="A5" s="8" t="s">
        <v>125</v>
      </c>
      <c r="B5" s="8" t="s">
        <v>126</v>
      </c>
      <c r="C5" s="8">
        <v>39.1</v>
      </c>
      <c r="D5" s="8">
        <v>0.82142999999999999</v>
      </c>
      <c r="E5" s="8">
        <v>2.0816999999999999E-2</v>
      </c>
      <c r="F5" s="8">
        <v>3.7892944439999998</v>
      </c>
    </row>
    <row r="6" spans="1:6">
      <c r="A6" s="8" t="s">
        <v>127</v>
      </c>
      <c r="B6" s="8" t="s">
        <v>128</v>
      </c>
      <c r="C6" s="8">
        <v>40.4</v>
      </c>
      <c r="D6" s="8">
        <v>0.80357000000000001</v>
      </c>
      <c r="E6" s="8">
        <v>7.4777999999999997E-3</v>
      </c>
      <c r="F6" s="8">
        <v>2.256984122</v>
      </c>
    </row>
    <row r="7" spans="1:6">
      <c r="A7" s="8" t="s">
        <v>129</v>
      </c>
      <c r="B7" s="8" t="s">
        <v>130</v>
      </c>
      <c r="C7" s="8">
        <v>41.2</v>
      </c>
      <c r="D7" s="8">
        <v>0.78571000000000002</v>
      </c>
      <c r="E7" s="8">
        <v>3.5090000000000003E-2</v>
      </c>
      <c r="F7" s="8">
        <v>2.3495996429999999</v>
      </c>
    </row>
    <row r="8" spans="1:6">
      <c r="A8" s="8" t="s">
        <v>131</v>
      </c>
      <c r="B8" s="8" t="s">
        <v>132</v>
      </c>
      <c r="C8" s="8">
        <v>40.299999999999997</v>
      </c>
      <c r="D8" s="8">
        <v>0.77678999999999998</v>
      </c>
      <c r="E8" s="8">
        <v>6.3154999999999999E-3</v>
      </c>
      <c r="F8" s="8">
        <v>1.7561608390000001</v>
      </c>
    </row>
    <row r="9" spans="1:6">
      <c r="A9" s="8" t="s">
        <v>133</v>
      </c>
      <c r="B9" s="8" t="s">
        <v>134</v>
      </c>
      <c r="C9" s="8">
        <v>40</v>
      </c>
      <c r="D9" s="8">
        <v>0.77678999999999998</v>
      </c>
      <c r="E9" s="8">
        <v>9.6288999999999993E-3</v>
      </c>
      <c r="F9" s="8">
        <v>1.8555519620000001</v>
      </c>
    </row>
    <row r="10" spans="1:6">
      <c r="A10" s="8" t="s">
        <v>135</v>
      </c>
      <c r="B10" s="8" t="s">
        <v>136</v>
      </c>
      <c r="C10" s="8">
        <v>45.6</v>
      </c>
      <c r="D10" s="8">
        <v>0.76785999999999999</v>
      </c>
      <c r="E10" s="8">
        <v>5.6389999999999999E-3</v>
      </c>
      <c r="F10" s="8">
        <v>1.9333788270000001</v>
      </c>
    </row>
    <row r="11" spans="1:6">
      <c r="A11" s="8" t="s">
        <v>137</v>
      </c>
      <c r="B11" s="8" t="s">
        <v>138</v>
      </c>
      <c r="C11" s="8">
        <v>37.299999999999997</v>
      </c>
      <c r="D11" s="8">
        <v>0.76339000000000001</v>
      </c>
      <c r="E11" s="8">
        <v>1.5172E-2</v>
      </c>
      <c r="F11" s="8">
        <v>1.904424256</v>
      </c>
    </row>
    <row r="12" spans="1:6">
      <c r="A12" s="8" t="s">
        <v>139</v>
      </c>
      <c r="B12" s="8" t="s">
        <v>140</v>
      </c>
      <c r="C12" s="8">
        <v>40</v>
      </c>
      <c r="D12" s="8">
        <v>0.73214000000000001</v>
      </c>
      <c r="E12" s="8">
        <v>3.3681000000000003E-2</v>
      </c>
      <c r="F12" s="8">
        <v>1.6605989759999999</v>
      </c>
    </row>
    <row r="13" spans="1:6">
      <c r="A13" s="8" t="s">
        <v>141</v>
      </c>
      <c r="B13" s="11" t="s">
        <v>142</v>
      </c>
      <c r="C13" s="8">
        <v>42.5</v>
      </c>
      <c r="D13" s="8">
        <v>0.72767999999999999</v>
      </c>
      <c r="E13" s="8">
        <v>8.8867000000000008E-3</v>
      </c>
      <c r="F13" s="8">
        <v>0.481136709</v>
      </c>
    </row>
    <row r="14" spans="1:6">
      <c r="A14" s="8" t="s">
        <v>143</v>
      </c>
      <c r="B14" s="9" t="s">
        <v>144</v>
      </c>
      <c r="C14" s="8">
        <v>41.2</v>
      </c>
      <c r="D14" s="8">
        <v>0.72767999999999999</v>
      </c>
      <c r="E14" s="8">
        <v>4.6653E-2</v>
      </c>
      <c r="F14" s="8">
        <v>0.64811472699999995</v>
      </c>
    </row>
    <row r="15" spans="1:6">
      <c r="A15" s="8" t="s">
        <v>145</v>
      </c>
      <c r="B15" s="11" t="s">
        <v>146</v>
      </c>
      <c r="C15" s="8">
        <v>41.3</v>
      </c>
      <c r="D15" s="8">
        <v>0.72767999999999999</v>
      </c>
      <c r="E15" s="8">
        <v>4.9010999999999999E-2</v>
      </c>
      <c r="F15" s="8">
        <v>1.852817503</v>
      </c>
    </row>
    <row r="16" spans="1:6">
      <c r="A16" s="8" t="s">
        <v>147</v>
      </c>
      <c r="B16" s="8" t="s">
        <v>148</v>
      </c>
      <c r="C16" s="8">
        <v>38.9</v>
      </c>
      <c r="D16" s="8">
        <v>0.70982000000000001</v>
      </c>
      <c r="E16" s="8">
        <v>1.1093E-2</v>
      </c>
      <c r="F16" s="8">
        <v>1.608201835</v>
      </c>
    </row>
    <row r="17" spans="1:6">
      <c r="A17" s="8" t="s">
        <v>149</v>
      </c>
      <c r="B17" s="8" t="s">
        <v>150</v>
      </c>
      <c r="C17" s="8">
        <v>39.1</v>
      </c>
      <c r="D17" s="8">
        <v>0.70982000000000001</v>
      </c>
      <c r="E17" s="8">
        <v>4.4297999999999997E-2</v>
      </c>
      <c r="F17" s="8">
        <v>0.51475205000000002</v>
      </c>
    </row>
    <row r="18" spans="1:6">
      <c r="A18" s="8" t="s">
        <v>151</v>
      </c>
      <c r="B18" s="8" t="s">
        <v>152</v>
      </c>
      <c r="C18" s="8">
        <v>38.200000000000003</v>
      </c>
      <c r="D18" s="8">
        <v>0.70535999999999999</v>
      </c>
      <c r="E18" s="8">
        <v>0.17926</v>
      </c>
      <c r="F18" s="8">
        <v>1.532973068</v>
      </c>
    </row>
    <row r="19" spans="1:6">
      <c r="A19" s="8" t="s">
        <v>153</v>
      </c>
      <c r="B19" s="8" t="s">
        <v>154</v>
      </c>
      <c r="C19" s="8">
        <v>38.299999999999997</v>
      </c>
      <c r="D19" s="8">
        <v>0.70089000000000001</v>
      </c>
      <c r="E19" s="8">
        <v>2.9669999999999998E-2</v>
      </c>
      <c r="F19" s="8">
        <v>0.62424287099999998</v>
      </c>
    </row>
    <row r="21" spans="1:6">
      <c r="A21" s="6" t="s">
        <v>155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S2A</vt:lpstr>
      <vt:lpstr>Table S2B</vt:lpstr>
      <vt:lpstr>Table S2C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杨鸣</dc:creator>
  <cp:lastModifiedBy>Frontiers</cp:lastModifiedBy>
  <dcterms:created xsi:type="dcterms:W3CDTF">2015-06-05T18:19:34Z</dcterms:created>
  <dcterms:modified xsi:type="dcterms:W3CDTF">2023-04-26T11:31:50Z</dcterms:modified>
</cp:coreProperties>
</file>